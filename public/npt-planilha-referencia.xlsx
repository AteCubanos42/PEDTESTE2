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PT" sheetId="1" r:id="rId4"/>
    <sheet state="visible" name="Plan1" sheetId="2" r:id="rId5"/>
  </sheets>
  <definedNames/>
  <calcPr/>
  <extLst>
    <ext uri="GoogleSheetsCustomDataVersion2">
      <go:sheetsCustomData xmlns:go="http://customooxmlschemas.google.com/" r:id="rId6" roundtripDataChecksum="Y/OEjJ0xFyjskFrnTyc9gDOoRKlrqy8bI7ZiC7rAZw4="/>
    </ext>
  </extLst>
</workbook>
</file>

<file path=xl/sharedStrings.xml><?xml version="1.0" encoding="utf-8"?>
<sst xmlns="http://schemas.openxmlformats.org/spreadsheetml/2006/main" count="152" uniqueCount="102">
  <si>
    <t>PESO:</t>
  </si>
  <si>
    <t>(kg)</t>
  </si>
  <si>
    <t>QH</t>
  </si>
  <si>
    <t>DIETA</t>
  </si>
  <si>
    <t>(ml/kg/dia)</t>
  </si>
  <si>
    <t>PLANILHA NPT UTI IMIP</t>
  </si>
  <si>
    <t>%DIETA</t>
  </si>
  <si>
    <t>Peso</t>
  </si>
  <si>
    <t>QHT</t>
  </si>
  <si>
    <t>VIG</t>
  </si>
  <si>
    <t>FC</t>
  </si>
  <si>
    <t>Osm FARM IMIP</t>
  </si>
  <si>
    <t>MED</t>
  </si>
  <si>
    <t>O QUE VOCÊ QUER OFERTAR AO PACIENTE?</t>
  </si>
  <si>
    <t>AMINOÁCIDOS 10% (4Kcal/g)</t>
  </si>
  <si>
    <t>g</t>
  </si>
  <si>
    <t>ml</t>
  </si>
  <si>
    <t>AA10%</t>
  </si>
  <si>
    <t>INF</t>
  </si>
  <si>
    <t>Q. HIDRICA</t>
  </si>
  <si>
    <t>AMINOÁCIDOS 6% (4Kcal/g) HEPATO</t>
  </si>
  <si>
    <t>% FOTO</t>
  </si>
  <si>
    <t>(mg/kg/min)</t>
  </si>
  <si>
    <t>AMINIÁCIDOS 6,9% (4Kcal/g) NEFRO</t>
  </si>
  <si>
    <t>AMINOÁCIDOS</t>
  </si>
  <si>
    <t>(g/kg/dia)</t>
  </si>
  <si>
    <t>EMULSÃO LIPÍDICA 20% (10Kcal/g)</t>
  </si>
  <si>
    <t>LIP 20</t>
  </si>
  <si>
    <t>QH*FC</t>
  </si>
  <si>
    <t>LIPIDIOS</t>
  </si>
  <si>
    <t>GLICOSE 50% (3,4Kcal/g)</t>
  </si>
  <si>
    <t>GG50%</t>
  </si>
  <si>
    <t>ml/h</t>
  </si>
  <si>
    <t>NaCl</t>
  </si>
  <si>
    <t>(mEq/kg/dia)</t>
  </si>
  <si>
    <t>ÁGUA BIDESTILADA</t>
  </si>
  <si>
    <t>KCl</t>
  </si>
  <si>
    <t>FOSFATO DE K 10% (2mmol/ml)</t>
  </si>
  <si>
    <t>mmol</t>
  </si>
  <si>
    <t>KPO410%</t>
  </si>
  <si>
    <t>Carb</t>
  </si>
  <si>
    <t>KPO4</t>
  </si>
  <si>
    <t>KCl 10% (1,3 mEq/ml)</t>
  </si>
  <si>
    <t>mEq</t>
  </si>
  <si>
    <t>KCL10%</t>
  </si>
  <si>
    <t>Prot</t>
  </si>
  <si>
    <t>MgSO4</t>
  </si>
  <si>
    <t>NaCl 20% (3,4mEq/ml)</t>
  </si>
  <si>
    <t>NACL20%</t>
  </si>
  <si>
    <t>Lip</t>
  </si>
  <si>
    <t>Gluc Ca</t>
  </si>
  <si>
    <t>(mg/kg/dia)</t>
  </si>
  <si>
    <t>SULFATO Mg 50% (4mEq/ml)</t>
  </si>
  <si>
    <t>MGSO450%</t>
  </si>
  <si>
    <t>Qcal</t>
  </si>
  <si>
    <t>Olig Ped</t>
  </si>
  <si>
    <t>GLUCONATO DE CÁLCIO 10% (0,45 mEq/ml)</t>
  </si>
  <si>
    <t>G.CA 10%</t>
  </si>
  <si>
    <t>Vitamina</t>
  </si>
  <si>
    <t>OLIGOELEMENTOS ADULTO</t>
  </si>
  <si>
    <t>Osmolaridade</t>
  </si>
  <si>
    <t>Relação Cálcio e fósforo necesária 2:1</t>
  </si>
  <si>
    <t>Ca</t>
  </si>
  <si>
    <t>P</t>
  </si>
  <si>
    <t>OLIGOELEMENTOS PEDIATRIA</t>
  </si>
  <si>
    <t>GGlic</t>
  </si>
  <si>
    <t>Form 1</t>
  </si>
  <si>
    <t>Rel Ca:P prescrita:</t>
  </si>
  <si>
    <t>POLIVITAMINAS A ADULTO</t>
  </si>
  <si>
    <t>GAmin</t>
  </si>
  <si>
    <t>Form 2</t>
  </si>
  <si>
    <r>
      <rPr>
        <rFont val="Calibri"/>
        <b/>
        <color rgb="FF000000"/>
        <sz val="11.0"/>
      </rPr>
      <t>ATENÇÃO: Para garantir a estabilidade da solução, é necessário que essa relação esteja na proporção de 2:1.</t>
    </r>
    <r>
      <rPr>
        <rFont val="Calibri"/>
        <color rgb="FF000000"/>
        <sz val="11.0"/>
      </rPr>
      <t xml:space="preserve"> Caso o paciente necessite de uma porporção diferente, como por exemplo, nos casos de hipofosfatemia grave, considerar retirar um dos dois elementos para priorizar o outro.</t>
    </r>
  </si>
  <si>
    <t>POLIVITAMINAS B ADULTO</t>
  </si>
  <si>
    <t>GLip</t>
  </si>
  <si>
    <t>Form3</t>
  </si>
  <si>
    <t xml:space="preserve"> </t>
  </si>
  <si>
    <t>POLIVITAMINAS PEDIÁTRICO</t>
  </si>
  <si>
    <t>Na mEq</t>
  </si>
  <si>
    <t>ACETATO DE ZINCO (0,5 mEq/ml) 1,63mgZn/ml</t>
  </si>
  <si>
    <t>Ca mEq</t>
  </si>
  <si>
    <t>Mg mEq</t>
  </si>
  <si>
    <t>OUTRAS INFORMAÇÕES</t>
  </si>
  <si>
    <t>Calorias totais</t>
  </si>
  <si>
    <t>K mEq</t>
  </si>
  <si>
    <t>mOsm/L (FARM IMIP)</t>
  </si>
  <si>
    <t>Carboidratos</t>
  </si>
  <si>
    <t>KCal N Prot/g Nit (100 - 150 se estresse e 150-250 anabolismo)</t>
  </si>
  <si>
    <t>P mEq</t>
  </si>
  <si>
    <t>Ca necessário pelo P prescrito:</t>
  </si>
  <si>
    <t>QCal</t>
  </si>
  <si>
    <t>Kcal/kg/dia</t>
  </si>
  <si>
    <t>Proteínas</t>
  </si>
  <si>
    <t>P necessário pelo Ca prescrito:</t>
  </si>
  <si>
    <t>mOsm/L</t>
  </si>
  <si>
    <t>Lipídios</t>
  </si>
  <si>
    <t>Calculos</t>
  </si>
  <si>
    <t>Dados</t>
  </si>
  <si>
    <t>Glicose</t>
  </si>
  <si>
    <t>Proteina</t>
  </si>
  <si>
    <t>Lipidio</t>
  </si>
  <si>
    <t>Medicacao</t>
  </si>
  <si>
    <t>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</si>
</sst>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/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F0000"/>
        <bgColor rgb="FFFF0000"/>
      </patternFill>
    </fill>
    <fill>
      <patternFill patternType="solid">
        <fgColor rgb="FFFFCC00"/>
        <bgColor rgb="FFFFCC00"/>
      </patternFill>
    </fill>
    <fill>
      <patternFill patternType="solid">
        <fgColor rgb="FFB9CDE5"/>
        <bgColor rgb="FFB9CDE5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/>
      <top/>
      <bottom style="thin">
        <color rgb="FFCCFFFF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99CCFF"/>
      </bottom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right style="thin">
        <color rgb="FF000000"/>
      </right>
      <top/>
      <bottom/>
    </border>
    <border>
      <left/>
      <bottom/>
    </border>
    <border>
      <bottom/>
    </border>
    <border>
      <right/>
      <bottom/>
    </border>
    <border>
      <left/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Alignment="1" applyBorder="1" applyFill="1" applyFont="1">
      <alignment readingOrder="0"/>
    </xf>
    <xf borderId="2" fillId="3" fontId="1" numFmtId="0" xfId="0" applyBorder="1" applyFont="1"/>
    <xf borderId="3" fillId="3" fontId="1" numFmtId="0" xfId="0" applyBorder="1" applyFont="1"/>
    <xf borderId="0" fillId="0" fontId="2" numFmtId="0" xfId="0" applyFont="1"/>
    <xf borderId="4" fillId="2" fontId="1" numFmtId="0" xfId="0" applyBorder="1" applyFont="1"/>
    <xf borderId="5" fillId="3" fontId="1" numFmtId="0" xfId="0" applyAlignment="1" applyBorder="1" applyFont="1">
      <alignment readingOrder="0"/>
    </xf>
    <xf borderId="2" fillId="2" fontId="1" numFmtId="0" xfId="0" applyBorder="1" applyFont="1"/>
    <xf borderId="6" fillId="4" fontId="1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2" fillId="3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4" fillId="3" fontId="1" numFmtId="0" xfId="0" applyBorder="1" applyFont="1"/>
    <xf borderId="2" fillId="4" fontId="1" numFmtId="0" xfId="0" applyBorder="1" applyFont="1"/>
    <xf borderId="2" fillId="4" fontId="4" numFmtId="0" xfId="0" applyAlignment="1" applyBorder="1" applyFont="1">
      <alignment horizontal="left" readingOrder="0"/>
    </xf>
    <xf borderId="2" fillId="4" fontId="4" numFmtId="164" xfId="0" applyAlignment="1" applyBorder="1" applyFont="1" applyNumberFormat="1">
      <alignment horizontal="left" readingOrder="0"/>
    </xf>
    <xf borderId="3" fillId="4" fontId="4" numFmtId="2" xfId="0" applyAlignment="1" applyBorder="1" applyFont="1" applyNumberFormat="1">
      <alignment horizontal="left" vertical="center"/>
    </xf>
    <xf borderId="2" fillId="3" fontId="4" numFmtId="2" xfId="0" applyAlignment="1" applyBorder="1" applyFont="1" applyNumberFormat="1">
      <alignment horizontal="left" vertical="center"/>
    </xf>
    <xf borderId="2" fillId="4" fontId="4" numFmtId="2" xfId="0" applyAlignment="1" applyBorder="1" applyFont="1" applyNumberFormat="1">
      <alignment horizontal="left" vertical="center"/>
    </xf>
    <xf borderId="9" fillId="5" fontId="1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4" fontId="1" numFmtId="0" xfId="0" applyAlignment="1" applyBorder="1" applyFont="1">
      <alignment horizontal="left"/>
    </xf>
    <xf borderId="11" fillId="4" fontId="1" numFmtId="0" xfId="0" applyBorder="1" applyFont="1"/>
    <xf borderId="11" fillId="4" fontId="4" numFmtId="164" xfId="0" applyBorder="1" applyFont="1" applyNumberFormat="1"/>
    <xf borderId="12" fillId="4" fontId="1" numFmtId="0" xfId="0" applyBorder="1" applyFont="1"/>
    <xf borderId="2" fillId="4" fontId="1" numFmtId="164" xfId="0" applyBorder="1" applyFont="1" applyNumberFormat="1"/>
    <xf borderId="4" fillId="5" fontId="1" numFmtId="0" xfId="0" applyAlignment="1" applyBorder="1" applyFont="1">
      <alignment horizontal="right"/>
    </xf>
    <xf borderId="2" fillId="3" fontId="1" numFmtId="0" xfId="0" applyAlignment="1" applyBorder="1" applyFont="1">
      <alignment readingOrder="0"/>
    </xf>
    <xf borderId="2" fillId="5" fontId="1" numFmtId="0" xfId="0" applyBorder="1" applyFont="1"/>
    <xf borderId="0" fillId="0" fontId="1" numFmtId="164" xfId="0" applyFont="1" applyNumberFormat="1"/>
    <xf borderId="13" fillId="3" fontId="1" numFmtId="0" xfId="0" applyAlignment="1" applyBorder="1" applyFont="1">
      <alignment readingOrder="0"/>
    </xf>
    <xf borderId="1" fillId="6" fontId="4" numFmtId="0" xfId="0" applyAlignment="1" applyBorder="1" applyFill="1" applyFont="1">
      <alignment horizontal="center" shrinkToFit="0" wrapText="1"/>
    </xf>
    <xf borderId="1" fillId="6" fontId="4" numFmtId="0" xfId="0" applyAlignment="1" applyBorder="1" applyFont="1">
      <alignment horizontal="center"/>
    </xf>
    <xf borderId="1" fillId="6" fontId="4" numFmtId="0" xfId="0" applyAlignment="1" applyBorder="1" applyFont="1">
      <alignment horizontal="left"/>
    </xf>
    <xf borderId="0" fillId="0" fontId="1" numFmtId="1" xfId="0" applyFont="1" applyNumberFormat="1"/>
    <xf borderId="1" fillId="6" fontId="4" numFmtId="0" xfId="0" applyAlignment="1" applyBorder="1" applyFont="1">
      <alignment horizontal="right"/>
    </xf>
    <xf borderId="1" fillId="6" fontId="1" numFmtId="2" xfId="0" applyAlignment="1" applyBorder="1" applyFont="1" applyNumberFormat="1">
      <alignment horizontal="center"/>
    </xf>
    <xf borderId="1" fillId="6" fontId="1" numFmtId="0" xfId="0" applyAlignment="1" applyBorder="1" applyFont="1">
      <alignment horizontal="left"/>
    </xf>
    <xf borderId="14" fillId="6" fontId="1" numFmtId="0" xfId="0" applyAlignment="1" applyBorder="1" applyFont="1">
      <alignment horizontal="center" shrinkToFit="0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3" fillId="4" fontId="1" numFmtId="0" xfId="0" applyBorder="1" applyFont="1"/>
    <xf borderId="2" fillId="7" fontId="1" numFmtId="0" xfId="0" applyBorder="1" applyFill="1" applyFont="1"/>
    <xf borderId="2" fillId="8" fontId="1" numFmtId="0" xfId="0" applyBorder="1" applyFill="1" applyFont="1"/>
    <xf borderId="2" fillId="8" fontId="1" numFmtId="164" xfId="0" applyBorder="1" applyFont="1" applyNumberFormat="1"/>
    <xf borderId="6" fillId="7" fontId="1" numFmtId="0" xfId="0" applyAlignment="1" applyBorder="1" applyFont="1">
      <alignment horizontal="center" shrinkToFit="0" wrapText="1"/>
    </xf>
    <xf borderId="19" fillId="7" fontId="1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 shrinkToFit="0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" fillId="7" fontId="1" numFmtId="164" xfId="0" applyBorder="1" applyFont="1" applyNumberFormat="1"/>
    <xf borderId="2" fillId="8" fontId="1" numFmtId="9" xfId="0" applyBorder="1" applyFont="1" applyNumberFormat="1"/>
    <xf borderId="23" fillId="7" fontId="1" numFmtId="0" xfId="0" applyAlignment="1" applyBorder="1" applyFont="1">
      <alignment horizontal="center" shrinkToFit="0" wrapText="1"/>
    </xf>
    <xf borderId="24" fillId="0" fontId="3" numFmtId="0" xfId="0" applyBorder="1" applyFont="1"/>
    <xf borderId="3" fillId="7" fontId="1" numFmtId="0" xfId="0" applyBorder="1" applyFont="1"/>
    <xf borderId="25" fillId="6" fontId="4" numFmtId="0" xfId="0" applyAlignment="1" applyBorder="1" applyFont="1">
      <alignment horizontal="right"/>
    </xf>
    <xf borderId="26" fillId="0" fontId="3" numFmtId="0" xfId="0" applyBorder="1" applyFont="1"/>
    <xf borderId="1" fillId="6" fontId="1" numFmtId="1" xfId="0" applyAlignment="1" applyBorder="1" applyFont="1" applyNumberFormat="1">
      <alignment horizontal="center"/>
    </xf>
    <xf borderId="3" fillId="7" fontId="1" numFmtId="1" xfId="0" applyAlignment="1" applyBorder="1" applyFont="1" applyNumberFormat="1">
      <alignment horizontal="center"/>
    </xf>
    <xf borderId="2" fillId="3" fontId="1" numFmtId="1" xfId="0" applyAlignment="1" applyBorder="1" applyFont="1" applyNumberFormat="1">
      <alignment horizontal="center"/>
    </xf>
    <xf borderId="2" fillId="7" fontId="1" numFmtId="1" xfId="0" applyAlignment="1" applyBorder="1" applyFont="1" applyNumberFormat="1">
      <alignment horizontal="center"/>
    </xf>
    <xf borderId="25" fillId="6" fontId="5" numFmtId="0" xfId="0" applyAlignment="1" applyBorder="1" applyFont="1">
      <alignment horizontal="right"/>
    </xf>
    <xf borderId="1" fillId="6" fontId="6" numFmtId="164" xfId="0" applyAlignment="1" applyBorder="1" applyFont="1" applyNumberFormat="1">
      <alignment horizontal="center"/>
    </xf>
    <xf borderId="2" fillId="7" fontId="1" numFmtId="1" xfId="0" applyBorder="1" applyFont="1" applyNumberFormat="1"/>
    <xf borderId="15" fillId="0" fontId="7" numFmtId="0" xfId="0" applyAlignment="1" applyBorder="1" applyFont="1">
      <alignment horizontal="right"/>
    </xf>
    <xf borderId="0" fillId="0" fontId="8" numFmtId="164" xfId="0" applyAlignment="1" applyFont="1" applyNumberFormat="1">
      <alignment horizontal="center"/>
    </xf>
    <xf borderId="2" fillId="7" fontId="1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257175</xdr:colOff>
      <xdr:row>4</xdr:row>
      <xdr:rowOff>9525</xdr:rowOff>
    </xdr:from>
    <xdr:ext cx="590550" cy="209550"/>
    <xdr:sp>
      <xdr:nvSpPr>
        <xdr:cNvPr id="3" name="Shape 3"/>
        <xdr:cNvSpPr/>
      </xdr:nvSpPr>
      <xdr:spPr>
        <a:xfrm>
          <a:off x="5055488" y="3679988"/>
          <a:ext cx="581025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5</xdr:row>
      <xdr:rowOff>9525</xdr:rowOff>
    </xdr:from>
    <xdr:ext cx="590550" cy="209550"/>
    <xdr:sp>
      <xdr:nvSpPr>
        <xdr:cNvPr id="3" name="Shape 3"/>
        <xdr:cNvSpPr/>
      </xdr:nvSpPr>
      <xdr:spPr>
        <a:xfrm>
          <a:off x="5055488" y="3679988"/>
          <a:ext cx="581025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13</xdr:row>
      <xdr:rowOff>9525</xdr:rowOff>
    </xdr:from>
    <xdr:ext cx="590550" cy="209550"/>
    <xdr:sp>
      <xdr:nvSpPr>
        <xdr:cNvPr id="4" name="Shape 4"/>
        <xdr:cNvSpPr/>
      </xdr:nvSpPr>
      <xdr:spPr>
        <a:xfrm>
          <a:off x="5055488" y="3679988"/>
          <a:ext cx="581025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14</xdr:row>
      <xdr:rowOff>9525</xdr:rowOff>
    </xdr:from>
    <xdr:ext cx="590550" cy="209550"/>
    <xdr:sp>
      <xdr:nvSpPr>
        <xdr:cNvPr id="3" name="Shape 3"/>
        <xdr:cNvSpPr/>
      </xdr:nvSpPr>
      <xdr:spPr>
        <a:xfrm>
          <a:off x="5055488" y="3679988"/>
          <a:ext cx="581025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15</xdr:row>
      <xdr:rowOff>9525</xdr:rowOff>
    </xdr:from>
    <xdr:ext cx="590550" cy="200025"/>
    <xdr:sp>
      <xdr:nvSpPr>
        <xdr:cNvPr id="5" name="Shape 5"/>
        <xdr:cNvSpPr/>
      </xdr:nvSpPr>
      <xdr:spPr>
        <a:xfrm>
          <a:off x="5055488" y="3684750"/>
          <a:ext cx="581025" cy="1905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16</xdr:row>
      <xdr:rowOff>9525</xdr:rowOff>
    </xdr:from>
    <xdr:ext cx="590550" cy="209550"/>
    <xdr:sp>
      <xdr:nvSpPr>
        <xdr:cNvPr id="4" name="Shape 4"/>
        <xdr:cNvSpPr/>
      </xdr:nvSpPr>
      <xdr:spPr>
        <a:xfrm>
          <a:off x="5055488" y="3679988"/>
          <a:ext cx="581025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16</xdr:row>
      <xdr:rowOff>9525</xdr:rowOff>
    </xdr:from>
    <xdr:ext cx="590550" cy="209550"/>
    <xdr:sp>
      <xdr:nvSpPr>
        <xdr:cNvPr id="4" name="Shape 4"/>
        <xdr:cNvSpPr/>
      </xdr:nvSpPr>
      <xdr:spPr>
        <a:xfrm>
          <a:off x="5055488" y="3679988"/>
          <a:ext cx="581025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17</xdr:row>
      <xdr:rowOff>9525</xdr:rowOff>
    </xdr:from>
    <xdr:ext cx="590550" cy="209550"/>
    <xdr:sp>
      <xdr:nvSpPr>
        <xdr:cNvPr id="4" name="Shape 4"/>
        <xdr:cNvSpPr/>
      </xdr:nvSpPr>
      <xdr:spPr>
        <a:xfrm>
          <a:off x="5055488" y="3679988"/>
          <a:ext cx="581025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19</xdr:row>
      <xdr:rowOff>9525</xdr:rowOff>
    </xdr:from>
    <xdr:ext cx="590550" cy="209550"/>
    <xdr:sp>
      <xdr:nvSpPr>
        <xdr:cNvPr id="3" name="Shape 3"/>
        <xdr:cNvSpPr/>
      </xdr:nvSpPr>
      <xdr:spPr>
        <a:xfrm>
          <a:off x="5055488" y="3679988"/>
          <a:ext cx="581025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2.57"/>
    <col customWidth="1" min="3" max="3" width="16.14"/>
    <col customWidth="1" min="4" max="4" width="1.57"/>
    <col customWidth="1" min="5" max="5" width="8.71"/>
    <col customWidth="1" min="6" max="7" width="10.71"/>
    <col customWidth="1" min="8" max="8" width="13.43"/>
    <col customWidth="1" min="9" max="9" width="6.57"/>
    <col customWidth="1" min="10" max="10" width="8.71"/>
    <col customWidth="1" min="11" max="11" width="15.71"/>
    <col customWidth="1" min="12" max="12" width="10.43"/>
    <col customWidth="1" min="13" max="13" width="7.29"/>
    <col customWidth="1" hidden="1" min="14" max="996" width="11.57"/>
    <col customWidth="1" hidden="1" min="997" max="997" width="3.29"/>
    <col customWidth="1" hidden="1" min="998" max="998" width="6.29"/>
    <col customWidth="1" hidden="1" min="999" max="999" width="5.29"/>
    <col customWidth="1" hidden="1" min="1000" max="1000" width="5.0"/>
    <col customWidth="1" hidden="1" min="1001" max="1001" width="4.71"/>
    <col customWidth="1" hidden="1" min="1002" max="1002" width="2.71"/>
    <col customWidth="1" hidden="1" min="1003" max="1003" width="4.43"/>
    <col customWidth="1" hidden="1" min="1004" max="1004" width="4.86"/>
    <col customWidth="1" hidden="1" min="1005" max="1005" width="4.71"/>
    <col customWidth="1" hidden="1" min="1006" max="1006" width="4.14"/>
    <col customWidth="1" hidden="1" min="1007" max="1007" width="4.0"/>
    <col customWidth="1" hidden="1" min="1008" max="1008" width="3.43"/>
    <col customWidth="1" hidden="1" min="1009" max="1009" width="3.14"/>
    <col customWidth="1" hidden="1" min="1010" max="1010" width="4.0"/>
    <col customWidth="1" hidden="1" min="1011" max="1011" width="2.29"/>
    <col customWidth="1" hidden="1" min="1012" max="1012" width="2.86"/>
    <col customWidth="1" hidden="1" min="1013" max="1013" width="6.43"/>
    <col customWidth="1" hidden="1" min="1014" max="1014" width="6.71"/>
    <col customWidth="1" hidden="1" min="1015" max="1015" width="2.0"/>
    <col customWidth="1" min="1016" max="1016" width="5.14"/>
    <col customWidth="1" min="1017" max="1017" width="7.29"/>
  </cols>
  <sheetData>
    <row r="1">
      <c r="A1" s="1" t="s">
        <v>0</v>
      </c>
      <c r="B1" s="2">
        <v>1.03</v>
      </c>
      <c r="C1" s="1" t="s">
        <v>1</v>
      </c>
      <c r="D1" s="3"/>
      <c r="E1" s="3"/>
      <c r="F1" s="3"/>
      <c r="G1" s="3"/>
      <c r="H1" s="3"/>
      <c r="I1" s="3"/>
      <c r="J1" s="3"/>
      <c r="K1" s="3"/>
      <c r="L1" s="4"/>
      <c r="M1" s="3"/>
      <c r="N1" s="3"/>
      <c r="O1" s="3"/>
      <c r="P1" s="3"/>
      <c r="Q1" s="5" t="s">
        <v>2</v>
      </c>
      <c r="R1" s="5">
        <f>B1*B5</f>
        <v>144.2</v>
      </c>
    </row>
    <row r="2">
      <c r="A2" s="6" t="s">
        <v>3</v>
      </c>
      <c r="B2" s="7"/>
      <c r="C2" s="8" t="s">
        <v>4</v>
      </c>
      <c r="D2" s="3"/>
      <c r="E2" s="9" t="s">
        <v>5</v>
      </c>
      <c r="F2" s="10"/>
      <c r="G2" s="10"/>
      <c r="H2" s="10"/>
      <c r="I2" s="10"/>
      <c r="J2" s="10"/>
      <c r="K2" s="10"/>
      <c r="L2" s="11"/>
      <c r="M2" s="12"/>
      <c r="N2" s="13"/>
      <c r="O2" s="13"/>
      <c r="P2" s="3"/>
      <c r="Q2" s="5" t="s">
        <v>6</v>
      </c>
      <c r="R2" s="5">
        <f>$B$2*B18/-100</f>
        <v>0</v>
      </c>
    </row>
    <row r="3">
      <c r="A3" s="14"/>
      <c r="B3" s="3"/>
      <c r="C3" s="3"/>
      <c r="D3" s="3"/>
      <c r="E3" s="15" t="s">
        <v>7</v>
      </c>
      <c r="F3" s="16">
        <v>3.54</v>
      </c>
      <c r="G3" s="15" t="s">
        <v>8</v>
      </c>
      <c r="H3" s="17">
        <v>207.4</v>
      </c>
      <c r="I3" s="15" t="s">
        <v>9</v>
      </c>
      <c r="J3" s="16">
        <v>6.5</v>
      </c>
      <c r="K3" s="15" t="s">
        <v>10</v>
      </c>
      <c r="L3" s="18">
        <v>1.0</v>
      </c>
      <c r="M3" s="19"/>
      <c r="N3" s="20" t="s">
        <v>11</v>
      </c>
      <c r="O3" s="20"/>
      <c r="P3" s="3"/>
      <c r="Q3" s="5" t="s">
        <v>12</v>
      </c>
      <c r="R3" s="5">
        <f t="shared" ref="R3:R4" si="1">B19*(-1)</f>
        <v>0</v>
      </c>
    </row>
    <row r="4">
      <c r="A4" s="21" t="s">
        <v>13</v>
      </c>
      <c r="B4" s="10"/>
      <c r="C4" s="22"/>
      <c r="D4" s="3"/>
      <c r="E4" s="23" t="s">
        <v>14</v>
      </c>
      <c r="F4" s="23"/>
      <c r="G4" s="23"/>
      <c r="H4" s="23"/>
      <c r="I4" s="24"/>
      <c r="J4" s="24" t="s">
        <v>15</v>
      </c>
      <c r="K4" s="25">
        <f>((B7*$B$1)*10)*$L$3</f>
        <v>36.05</v>
      </c>
      <c r="L4" s="26" t="s">
        <v>16</v>
      </c>
      <c r="M4" s="3"/>
      <c r="N4" s="27">
        <f t="shared" ref="N4:N20" si="2">K4*P4</f>
        <v>31904.25</v>
      </c>
      <c r="O4" s="15" t="s">
        <v>17</v>
      </c>
      <c r="P4" s="3">
        <v>885.0</v>
      </c>
      <c r="Q4" s="5" t="s">
        <v>18</v>
      </c>
      <c r="R4" s="5">
        <f t="shared" si="1"/>
        <v>0</v>
      </c>
    </row>
    <row r="5">
      <c r="A5" s="28" t="s">
        <v>19</v>
      </c>
      <c r="B5" s="29">
        <v>140.0</v>
      </c>
      <c r="C5" s="30" t="s">
        <v>4</v>
      </c>
      <c r="D5" s="3"/>
      <c r="E5" s="23" t="s">
        <v>20</v>
      </c>
      <c r="F5" s="23"/>
      <c r="G5" s="23"/>
      <c r="H5" s="23"/>
      <c r="I5" s="24"/>
      <c r="J5" s="24" t="s">
        <v>15</v>
      </c>
      <c r="K5" s="25">
        <v>0.0</v>
      </c>
      <c r="L5" s="26" t="s">
        <v>16</v>
      </c>
      <c r="M5" s="3"/>
      <c r="N5" s="27">
        <f t="shared" si="2"/>
        <v>0</v>
      </c>
      <c r="O5" s="15"/>
      <c r="P5" s="3"/>
      <c r="Q5" s="5" t="s">
        <v>21</v>
      </c>
      <c r="R5" s="5">
        <f>R1*$B$23/100</f>
        <v>0</v>
      </c>
    </row>
    <row r="6">
      <c r="A6" s="28" t="s">
        <v>9</v>
      </c>
      <c r="B6" s="29">
        <v>7.0</v>
      </c>
      <c r="C6" s="30" t="s">
        <v>22</v>
      </c>
      <c r="D6" s="3"/>
      <c r="E6" s="23" t="s">
        <v>23</v>
      </c>
      <c r="F6" s="23"/>
      <c r="G6" s="23"/>
      <c r="H6" s="23"/>
      <c r="I6" s="24"/>
      <c r="J6" s="24" t="s">
        <v>15</v>
      </c>
      <c r="K6" s="25">
        <v>0.0</v>
      </c>
      <c r="L6" s="26" t="s">
        <v>16</v>
      </c>
      <c r="M6" s="3"/>
      <c r="N6" s="27">
        <f t="shared" si="2"/>
        <v>0</v>
      </c>
      <c r="O6" s="15"/>
      <c r="P6" s="3"/>
    </row>
    <row r="7">
      <c r="A7" s="28" t="s">
        <v>24</v>
      </c>
      <c r="B7" s="29">
        <v>3.5</v>
      </c>
      <c r="C7" s="30" t="s">
        <v>25</v>
      </c>
      <c r="D7" s="3"/>
      <c r="E7" s="23" t="s">
        <v>26</v>
      </c>
      <c r="F7" s="23"/>
      <c r="G7" s="23"/>
      <c r="H7" s="23"/>
      <c r="I7" s="24"/>
      <c r="J7" s="24" t="s">
        <v>15</v>
      </c>
      <c r="K7" s="25">
        <f>((B8*$B$1)*5)*$L$3</f>
        <v>13.39</v>
      </c>
      <c r="L7" s="26" t="s">
        <v>16</v>
      </c>
      <c r="M7" s="3"/>
      <c r="N7" s="27">
        <f t="shared" si="2"/>
        <v>3655.47</v>
      </c>
      <c r="O7" s="15" t="s">
        <v>27</v>
      </c>
      <c r="P7" s="3">
        <v>273.0</v>
      </c>
      <c r="Q7" s="5" t="s">
        <v>28</v>
      </c>
      <c r="R7" s="5">
        <f>L3*H3</f>
        <v>207.4</v>
      </c>
    </row>
    <row r="8">
      <c r="A8" s="28" t="s">
        <v>29</v>
      </c>
      <c r="B8" s="29">
        <v>2.6</v>
      </c>
      <c r="C8" s="30" t="s">
        <v>25</v>
      </c>
      <c r="D8" s="3"/>
      <c r="E8" s="23" t="s">
        <v>30</v>
      </c>
      <c r="F8" s="23"/>
      <c r="G8" s="23"/>
      <c r="H8" s="23"/>
      <c r="I8" s="24"/>
      <c r="J8" s="24" t="s">
        <v>15</v>
      </c>
      <c r="K8" s="25">
        <f>((B6*$B$1*1.44)*2)*$L$3</f>
        <v>20.7648</v>
      </c>
      <c r="L8" s="26" t="s">
        <v>16</v>
      </c>
      <c r="M8" s="3"/>
      <c r="N8" s="27">
        <f t="shared" si="2"/>
        <v>57622.32</v>
      </c>
      <c r="O8" s="15" t="s">
        <v>31</v>
      </c>
      <c r="P8" s="3">
        <v>2775.0</v>
      </c>
      <c r="Q8" s="5" t="s">
        <v>32</v>
      </c>
      <c r="R8" s="31">
        <f>H3/24</f>
        <v>8.641666667</v>
      </c>
    </row>
    <row r="9">
      <c r="A9" s="28" t="s">
        <v>33</v>
      </c>
      <c r="B9" s="29">
        <v>4.0</v>
      </c>
      <c r="C9" s="30" t="s">
        <v>34</v>
      </c>
      <c r="D9" s="3"/>
      <c r="E9" s="23" t="s">
        <v>35</v>
      </c>
      <c r="F9" s="23"/>
      <c r="G9" s="23"/>
      <c r="H9" s="23"/>
      <c r="I9" s="24"/>
      <c r="J9" s="24"/>
      <c r="K9" s="25">
        <f>(H3*L3)-(SUM(K4:K8,K10:K20))</f>
        <v>132.3092814</v>
      </c>
      <c r="L9" s="26" t="s">
        <v>16</v>
      </c>
      <c r="M9" s="3"/>
      <c r="N9" s="27">
        <f t="shared" si="2"/>
        <v>0</v>
      </c>
      <c r="O9" s="15"/>
      <c r="P9" s="3"/>
    </row>
    <row r="10">
      <c r="A10" s="28" t="s">
        <v>36</v>
      </c>
      <c r="B10" s="29">
        <v>0.5</v>
      </c>
      <c r="C10" s="30" t="s">
        <v>34</v>
      </c>
      <c r="D10" s="3"/>
      <c r="E10" s="23" t="s">
        <v>37</v>
      </c>
      <c r="F10" s="23"/>
      <c r="G10" s="23"/>
      <c r="H10" s="23"/>
      <c r="I10" s="24"/>
      <c r="J10" s="24" t="s">
        <v>38</v>
      </c>
      <c r="K10" s="25">
        <f>((B11*$B$1)/2)*$L$3</f>
        <v>0.2575</v>
      </c>
      <c r="L10" s="26" t="s">
        <v>16</v>
      </c>
      <c r="M10" s="3"/>
      <c r="N10" s="27">
        <f t="shared" si="2"/>
        <v>283.25</v>
      </c>
      <c r="O10" s="15" t="s">
        <v>39</v>
      </c>
      <c r="P10" s="3">
        <v>1100.0</v>
      </c>
      <c r="Q10" s="5" t="s">
        <v>40</v>
      </c>
      <c r="R10" s="5">
        <f>B6*B1*1.44*3.4</f>
        <v>35.30016</v>
      </c>
    </row>
    <row r="11">
      <c r="A11" s="28" t="s">
        <v>41</v>
      </c>
      <c r="B11" s="29">
        <v>0.5</v>
      </c>
      <c r="C11" s="30" t="s">
        <v>34</v>
      </c>
      <c r="D11" s="3"/>
      <c r="E11" s="23" t="s">
        <v>42</v>
      </c>
      <c r="F11" s="23"/>
      <c r="G11" s="23"/>
      <c r="H11" s="23"/>
      <c r="I11" s="24"/>
      <c r="J11" s="24" t="s">
        <v>43</v>
      </c>
      <c r="K11" s="25">
        <f>((B10*$B$1)/1.3)*$L$3</f>
        <v>0.3961538462</v>
      </c>
      <c r="L11" s="26" t="s">
        <v>16</v>
      </c>
      <c r="M11" s="3"/>
      <c r="N11" s="27">
        <f t="shared" si="2"/>
        <v>1062.801538</v>
      </c>
      <c r="O11" s="15" t="s">
        <v>44</v>
      </c>
      <c r="P11" s="3">
        <v>2682.8</v>
      </c>
      <c r="Q11" s="5" t="s">
        <v>45</v>
      </c>
      <c r="R11" s="5">
        <f>B7*B1*4</f>
        <v>14.42</v>
      </c>
    </row>
    <row r="12">
      <c r="A12" s="28" t="s">
        <v>46</v>
      </c>
      <c r="B12" s="29">
        <v>0.0</v>
      </c>
      <c r="C12" s="30" t="s">
        <v>34</v>
      </c>
      <c r="D12" s="3"/>
      <c r="E12" s="23" t="s">
        <v>47</v>
      </c>
      <c r="F12" s="23"/>
      <c r="G12" s="23"/>
      <c r="H12" s="23"/>
      <c r="I12" s="24"/>
      <c r="J12" s="24" t="s">
        <v>43</v>
      </c>
      <c r="K12" s="25">
        <f>((B9*$B$1)/3.4)*$L$3</f>
        <v>1.211764706</v>
      </c>
      <c r="L12" s="26" t="s">
        <v>16</v>
      </c>
      <c r="M12" s="3"/>
      <c r="N12" s="27">
        <f t="shared" si="2"/>
        <v>8293.317647</v>
      </c>
      <c r="O12" s="15" t="s">
        <v>48</v>
      </c>
      <c r="P12" s="3">
        <v>6844.0</v>
      </c>
      <c r="Q12" s="5" t="s">
        <v>49</v>
      </c>
      <c r="R12" s="5">
        <f>B8*B1*10</f>
        <v>26.78</v>
      </c>
    </row>
    <row r="13">
      <c r="A13" s="28" t="s">
        <v>50</v>
      </c>
      <c r="B13" s="29">
        <v>215.0</v>
      </c>
      <c r="C13" s="30" t="s">
        <v>51</v>
      </c>
      <c r="D13" s="3"/>
      <c r="E13" s="23" t="s">
        <v>52</v>
      </c>
      <c r="F13" s="23"/>
      <c r="G13" s="23"/>
      <c r="H13" s="23"/>
      <c r="I13" s="24"/>
      <c r="J13" s="24" t="s">
        <v>43</v>
      </c>
      <c r="K13" s="25">
        <f>((B12*$B$1)/4)*$L$3</f>
        <v>0</v>
      </c>
      <c r="L13" s="26" t="s">
        <v>16</v>
      </c>
      <c r="M13" s="3"/>
      <c r="N13" s="27">
        <f t="shared" si="2"/>
        <v>0</v>
      </c>
      <c r="O13" s="15" t="s">
        <v>53</v>
      </c>
      <c r="P13" s="3">
        <v>1661.0</v>
      </c>
      <c r="Q13" s="5" t="s">
        <v>54</v>
      </c>
      <c r="R13" s="5">
        <f>SUM(R10:R12)</f>
        <v>76.50016</v>
      </c>
    </row>
    <row r="14">
      <c r="A14" s="28" t="s">
        <v>55</v>
      </c>
      <c r="B14" s="29">
        <v>0.2</v>
      </c>
      <c r="C14" s="30" t="s">
        <v>4</v>
      </c>
      <c r="D14" s="3"/>
      <c r="E14" s="23" t="s">
        <v>56</v>
      </c>
      <c r="F14" s="23"/>
      <c r="G14" s="23"/>
      <c r="H14" s="23"/>
      <c r="I14" s="24"/>
      <c r="J14" s="24" t="s">
        <v>43</v>
      </c>
      <c r="K14" s="25">
        <f>((B13*$B$1)/100)*$L$3</f>
        <v>2.2145</v>
      </c>
      <c r="L14" s="26" t="s">
        <v>16</v>
      </c>
      <c r="M14" s="3"/>
      <c r="N14" s="27">
        <f t="shared" si="2"/>
        <v>2174.639</v>
      </c>
      <c r="O14" s="15" t="s">
        <v>57</v>
      </c>
      <c r="P14" s="3">
        <v>982.0</v>
      </c>
    </row>
    <row r="15">
      <c r="A15" s="28" t="s">
        <v>58</v>
      </c>
      <c r="B15" s="32">
        <v>0.6</v>
      </c>
      <c r="C15" s="30"/>
      <c r="D15" s="3"/>
      <c r="E15" s="23" t="s">
        <v>59</v>
      </c>
      <c r="F15" s="23"/>
      <c r="G15" s="23"/>
      <c r="H15" s="23"/>
      <c r="I15" s="24"/>
      <c r="J15" s="24"/>
      <c r="K15" s="25">
        <v>0.0</v>
      </c>
      <c r="L15" s="26" t="s">
        <v>16</v>
      </c>
      <c r="M15" s="3"/>
      <c r="N15" s="27">
        <f t="shared" si="2"/>
        <v>0</v>
      </c>
      <c r="O15" s="15"/>
      <c r="P15" s="3"/>
      <c r="Q15" s="5" t="s">
        <v>60</v>
      </c>
    </row>
    <row r="16">
      <c r="A16" s="33" t="s">
        <v>61</v>
      </c>
      <c r="B16" s="34" t="s">
        <v>62</v>
      </c>
      <c r="C16" s="35" t="s">
        <v>63</v>
      </c>
      <c r="D16" s="3"/>
      <c r="E16" s="23" t="s">
        <v>64</v>
      </c>
      <c r="F16" s="23"/>
      <c r="G16" s="23"/>
      <c r="H16" s="23"/>
      <c r="I16" s="24"/>
      <c r="J16" s="24"/>
      <c r="K16" s="25">
        <f>(B14*$B$1)*$L$3</f>
        <v>0.206</v>
      </c>
      <c r="L16" s="26" t="s">
        <v>16</v>
      </c>
      <c r="M16" s="3"/>
      <c r="N16" s="27">
        <f t="shared" si="2"/>
        <v>0</v>
      </c>
      <c r="O16" s="15"/>
      <c r="P16" s="3"/>
      <c r="Q16" s="5" t="s">
        <v>65</v>
      </c>
      <c r="R16" s="5">
        <f>B6*B1*1.44</f>
        <v>10.3824</v>
      </c>
      <c r="S16" s="5" t="s">
        <v>66</v>
      </c>
      <c r="T16" s="36">
        <f>((R17*11)+(R16*5.5)+(R18*0.3)+SUM(R20,R19,R21,R22))*1000/R1</f>
        <v>715.625</v>
      </c>
    </row>
    <row r="17">
      <c r="A17" s="37" t="s">
        <v>67</v>
      </c>
      <c r="B17" s="38">
        <f>B13/215.19/B11</f>
        <v>1.998234119</v>
      </c>
      <c r="C17" s="39">
        <v>1.0</v>
      </c>
      <c r="D17" s="3"/>
      <c r="E17" s="23" t="s">
        <v>68</v>
      </c>
      <c r="F17" s="23"/>
      <c r="G17" s="23"/>
      <c r="H17" s="23"/>
      <c r="I17" s="24"/>
      <c r="J17" s="24"/>
      <c r="K17" s="25">
        <v>0.0</v>
      </c>
      <c r="L17" s="26" t="s">
        <v>16</v>
      </c>
      <c r="M17" s="3"/>
      <c r="N17" s="27">
        <f t="shared" si="2"/>
        <v>0</v>
      </c>
      <c r="O17" s="15"/>
      <c r="P17" s="3"/>
      <c r="Q17" s="5" t="s">
        <v>69</v>
      </c>
      <c r="R17" s="5">
        <f>B7*B1</f>
        <v>3.605</v>
      </c>
      <c r="S17" s="5" t="s">
        <v>70</v>
      </c>
      <c r="T17" s="36">
        <f>K4+(K8*2.5)+(K7*0.35)+SUM(R19*2,R22*2,R21,R20*1.4,R23*2)/1000</f>
        <v>92.66019514</v>
      </c>
    </row>
    <row r="18" ht="14.25" customHeight="1">
      <c r="A18" s="40" t="s">
        <v>71</v>
      </c>
      <c r="B18" s="41"/>
      <c r="C18" s="42"/>
      <c r="D18" s="3"/>
      <c r="E18" s="23" t="s">
        <v>72</v>
      </c>
      <c r="F18" s="23"/>
      <c r="G18" s="23"/>
      <c r="H18" s="23"/>
      <c r="I18" s="24"/>
      <c r="J18" s="24"/>
      <c r="K18" s="25">
        <v>0.0</v>
      </c>
      <c r="L18" s="26" t="s">
        <v>16</v>
      </c>
      <c r="M18" s="3"/>
      <c r="N18" s="27">
        <f t="shared" si="2"/>
        <v>0</v>
      </c>
      <c r="O18" s="15"/>
      <c r="P18" s="3"/>
      <c r="Q18" s="5" t="s">
        <v>73</v>
      </c>
      <c r="R18" s="5">
        <f>B8*B1</f>
        <v>2.678</v>
      </c>
      <c r="S18" s="5" t="s">
        <v>74</v>
      </c>
      <c r="T18" s="5">
        <f>SUM(R16*7,R17*8,R19*2,R23*0.2)-50</f>
        <v>59.8598</v>
      </c>
      <c r="AMC18" s="5" t="s">
        <v>75</v>
      </c>
    </row>
    <row r="19">
      <c r="A19" s="43"/>
      <c r="C19" s="44"/>
      <c r="D19" s="3"/>
      <c r="E19" s="23" t="s">
        <v>76</v>
      </c>
      <c r="F19" s="23"/>
      <c r="G19" s="23"/>
      <c r="H19" s="23"/>
      <c r="I19" s="24"/>
      <c r="J19" s="24"/>
      <c r="K19" s="25">
        <f>B15*$L$3</f>
        <v>0.6</v>
      </c>
      <c r="L19" s="26" t="s">
        <v>16</v>
      </c>
      <c r="M19" s="3"/>
      <c r="N19" s="27">
        <f t="shared" si="2"/>
        <v>0</v>
      </c>
      <c r="O19" s="15"/>
      <c r="P19" s="3"/>
      <c r="Q19" s="5" t="s">
        <v>77</v>
      </c>
      <c r="R19" s="5">
        <f>B9*B1</f>
        <v>4.12</v>
      </c>
    </row>
    <row r="20">
      <c r="A20" s="43"/>
      <c r="C20" s="44"/>
      <c r="D20" s="3"/>
      <c r="E20" s="23" t="s">
        <v>78</v>
      </c>
      <c r="F20" s="23"/>
      <c r="G20" s="23"/>
      <c r="H20" s="23"/>
      <c r="I20" s="24"/>
      <c r="J20" s="24"/>
      <c r="K20" s="25">
        <v>0.0</v>
      </c>
      <c r="L20" s="26" t="s">
        <v>16</v>
      </c>
      <c r="M20" s="3"/>
      <c r="N20" s="27">
        <f t="shared" si="2"/>
        <v>0</v>
      </c>
      <c r="O20" s="15"/>
      <c r="P20" s="3"/>
      <c r="Q20" s="5" t="s">
        <v>79</v>
      </c>
      <c r="R20" s="5">
        <f>B13*B1/100*0.45</f>
        <v>0.996525</v>
      </c>
    </row>
    <row r="21" ht="15.0" customHeight="1">
      <c r="A21" s="43"/>
      <c r="C21" s="44"/>
      <c r="D21" s="3"/>
      <c r="E21" s="15" t="str">
        <f>CONCATENATE("VOLUME TOTAL= ",R7,"ml, "," CORRER ",H3," ml IV EM BIC ",TEXT(R8,"0,0")," ml/h EM 24h")</f>
        <v>VOLUME TOTAL= 207,4ml,  CORRER 207,4 ml IV EM BIC 09 ml/h EM 24h</v>
      </c>
      <c r="F21" s="15"/>
      <c r="G21" s="15"/>
      <c r="H21" s="15"/>
      <c r="I21" s="15"/>
      <c r="J21" s="15"/>
      <c r="K21" s="15"/>
      <c r="L21" s="45"/>
      <c r="M21" s="3"/>
      <c r="N21" s="27">
        <f>SUM(N4:N20)/R7</f>
        <v>506.2490269</v>
      </c>
      <c r="O21" s="15"/>
      <c r="P21" s="3"/>
      <c r="Q21" s="5" t="s">
        <v>80</v>
      </c>
      <c r="R21" s="5">
        <f>B12*B1</f>
        <v>0</v>
      </c>
    </row>
    <row r="22" ht="15.75" customHeight="1">
      <c r="A22" s="43"/>
      <c r="C22" s="44"/>
      <c r="D22" s="3"/>
      <c r="E22" s="46" t="s">
        <v>81</v>
      </c>
      <c r="F22" s="46"/>
      <c r="G22" s="46"/>
      <c r="H22" s="47" t="s">
        <v>82</v>
      </c>
      <c r="I22" s="48">
        <f>R13</f>
        <v>76.50016</v>
      </c>
      <c r="J22" s="49"/>
      <c r="K22" s="22"/>
      <c r="L22" s="50"/>
      <c r="M22" s="51"/>
      <c r="N22" s="3"/>
      <c r="O22" s="3"/>
      <c r="P22" s="3"/>
      <c r="Q22" s="5" t="s">
        <v>83</v>
      </c>
      <c r="R22" s="5">
        <f>B10*B1</f>
        <v>0.515</v>
      </c>
    </row>
    <row r="23" ht="15.0" customHeight="1">
      <c r="A23" s="52"/>
      <c r="B23" s="53"/>
      <c r="C23" s="54"/>
      <c r="D23" s="3"/>
      <c r="E23" s="46" t="s">
        <v>84</v>
      </c>
      <c r="F23" s="46"/>
      <c r="G23" s="55">
        <f>N21</f>
        <v>506.2490269</v>
      </c>
      <c r="H23" s="47" t="s">
        <v>85</v>
      </c>
      <c r="I23" s="56">
        <f>R10/R13</f>
        <v>0.4614390349</v>
      </c>
      <c r="J23" s="57" t="s">
        <v>86</v>
      </c>
      <c r="K23" s="58"/>
      <c r="L23" s="59"/>
      <c r="M23" s="3"/>
      <c r="N23" s="46"/>
      <c r="O23" s="46"/>
      <c r="P23" s="3"/>
      <c r="Q23" s="5" t="s">
        <v>87</v>
      </c>
      <c r="R23" s="5">
        <f>B11*B1</f>
        <v>0.515</v>
      </c>
    </row>
    <row r="24" ht="15.75" customHeight="1">
      <c r="A24" s="60" t="s">
        <v>88</v>
      </c>
      <c r="B24" s="61"/>
      <c r="C24" s="62">
        <f>B11*430</f>
        <v>215</v>
      </c>
      <c r="D24" s="3"/>
      <c r="E24" s="46" t="s">
        <v>89</v>
      </c>
      <c r="F24" s="46">
        <f>R13/B1</f>
        <v>74.272</v>
      </c>
      <c r="G24" s="46" t="s">
        <v>90</v>
      </c>
      <c r="H24" s="47" t="s">
        <v>91</v>
      </c>
      <c r="I24" s="56">
        <f>R11/R13</f>
        <v>0.1884963378</v>
      </c>
      <c r="J24" s="43"/>
      <c r="K24" s="44"/>
      <c r="L24" s="63">
        <f>(R10+R12)/(R17/6.25)</f>
        <v>107.6285714</v>
      </c>
      <c r="M24" s="64"/>
      <c r="N24" s="65"/>
      <c r="O24" s="65"/>
      <c r="P24" s="3"/>
    </row>
    <row r="25" ht="15.75" customHeight="1">
      <c r="A25" s="66" t="s">
        <v>92</v>
      </c>
      <c r="B25" s="61"/>
      <c r="C25" s="67">
        <f>B13/430</f>
        <v>0.5</v>
      </c>
      <c r="D25" s="3"/>
      <c r="E25" s="46" t="s">
        <v>93</v>
      </c>
      <c r="F25" s="68">
        <f>T16</f>
        <v>715.625</v>
      </c>
      <c r="G25" s="46" t="str">
        <f>IF(F25&lt;600,"Periferico","Central")</f>
        <v>Central</v>
      </c>
      <c r="H25" s="47" t="s">
        <v>94</v>
      </c>
      <c r="I25" s="56">
        <f>R12/R13</f>
        <v>0.3500646273</v>
      </c>
      <c r="J25" s="52"/>
      <c r="K25" s="54"/>
      <c r="L25" s="59"/>
      <c r="M25" s="3"/>
      <c r="N25" s="46"/>
      <c r="O25" s="46"/>
      <c r="P25" s="3"/>
    </row>
    <row r="26" ht="15.75" customHeight="1">
      <c r="A26" s="69"/>
      <c r="B26" s="69"/>
      <c r="C26" s="70"/>
      <c r="D26" s="3"/>
      <c r="E26" s="46"/>
      <c r="F26" s="68"/>
      <c r="G26" s="46"/>
      <c r="H26" s="47"/>
      <c r="I26" s="56"/>
      <c r="J26" s="71"/>
      <c r="K26" s="71"/>
      <c r="L26" s="46"/>
      <c r="M26" s="3"/>
      <c r="N26" s="46"/>
      <c r="O26" s="46"/>
      <c r="P26" s="3"/>
    </row>
  </sheetData>
  <mergeCells count="7">
    <mergeCell ref="E2:L2"/>
    <mergeCell ref="A4:C4"/>
    <mergeCell ref="A18:C23"/>
    <mergeCell ref="J22:K22"/>
    <mergeCell ref="J23:K25"/>
    <mergeCell ref="A24:B24"/>
    <mergeCell ref="A25:B25"/>
  </mergeCells>
  <printOptions/>
  <pageMargins bottom="0.7875" footer="0.0" header="0.0" left="0.511805555555555" right="0.511805555555555" top="0.7875"/>
  <pageSetup paperSize="9" orientation="portrait"/>
  <colBreaks count="1" manualBreakCount="1">
    <brk id="1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7" width="8.43"/>
  </cols>
  <sheetData>
    <row r="2">
      <c r="A2" s="5" t="s">
        <v>95</v>
      </c>
      <c r="G2" s="5" t="s">
        <v>96</v>
      </c>
    </row>
    <row r="3">
      <c r="A3" s="5" t="s">
        <v>97</v>
      </c>
      <c r="G3" s="5" t="s">
        <v>7</v>
      </c>
      <c r="H3" s="72">
        <v>1520.0</v>
      </c>
    </row>
    <row r="4">
      <c r="A4" s="5" t="s">
        <v>98</v>
      </c>
      <c r="G4" s="5" t="s">
        <v>2</v>
      </c>
      <c r="H4" s="72">
        <v>140.0</v>
      </c>
    </row>
    <row r="5">
      <c r="A5" s="5" t="s">
        <v>99</v>
      </c>
      <c r="G5" s="5" t="s">
        <v>100</v>
      </c>
    </row>
    <row r="6">
      <c r="A6" s="5" t="s">
        <v>33</v>
      </c>
      <c r="G6" s="5" t="s">
        <v>9</v>
      </c>
      <c r="H6" s="72">
        <v>6.0</v>
      </c>
    </row>
    <row r="7">
      <c r="A7" s="5" t="s">
        <v>36</v>
      </c>
      <c r="G7" s="5" t="s">
        <v>98</v>
      </c>
      <c r="H7" s="72">
        <v>3.0</v>
      </c>
    </row>
    <row r="8">
      <c r="A8" s="5" t="s">
        <v>41</v>
      </c>
      <c r="G8" s="5" t="s">
        <v>99</v>
      </c>
      <c r="H8" s="72">
        <v>2.5</v>
      </c>
    </row>
    <row r="9">
      <c r="A9" s="5" t="s">
        <v>46</v>
      </c>
      <c r="G9" s="5" t="s">
        <v>33</v>
      </c>
    </row>
    <row r="10">
      <c r="A10" s="5" t="s">
        <v>50</v>
      </c>
      <c r="G10" s="5" t="s">
        <v>36</v>
      </c>
    </row>
    <row r="11">
      <c r="A11" s="5" t="s">
        <v>55</v>
      </c>
      <c r="G11" s="5" t="s">
        <v>41</v>
      </c>
    </row>
    <row r="12">
      <c r="A12" s="5" t="s">
        <v>58</v>
      </c>
      <c r="G12" s="5" t="s">
        <v>46</v>
      </c>
    </row>
    <row r="13">
      <c r="A13" s="5" t="s">
        <v>101</v>
      </c>
      <c r="G13" s="5" t="s">
        <v>50</v>
      </c>
    </row>
    <row r="14">
      <c r="A14" s="5" t="s">
        <v>10</v>
      </c>
      <c r="G14" s="5" t="s">
        <v>55</v>
      </c>
    </row>
    <row r="15">
      <c r="G15" s="5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2013-12-13T19:00:55Z</dcterms:created>
  <dc:creator>Simone Miranda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